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11123\Desktop\"/>
    </mc:Choice>
  </mc:AlternateContent>
  <bookViews>
    <workbookView xWindow="0" yWindow="0" windowWidth="25200" windowHeight="12030"/>
  </bookViews>
  <sheets>
    <sheet name="점수계산" sheetId="1" r:id="rId1"/>
  </sheets>
  <definedNames>
    <definedName name="_xlnm.Print_Area" localSheetId="0">점수계산!$A$1:$J$23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/>
  <c r="L11" i="1"/>
  <c r="L13" i="1"/>
  <c r="L14" i="1"/>
  <c r="L15" i="1"/>
  <c r="L8" i="1"/>
  <c r="K9" i="1"/>
  <c r="K10" i="1"/>
  <c r="K11" i="1"/>
  <c r="K13" i="1"/>
  <c r="K14" i="1"/>
  <c r="K15" i="1"/>
  <c r="K8" i="1"/>
  <c r="J7" i="1" l="1"/>
  <c r="J13" i="1" s="1"/>
  <c r="I7" i="1"/>
  <c r="I10" i="1" s="1"/>
  <c r="H7" i="1"/>
  <c r="G7" i="1"/>
  <c r="G10" i="1" s="1"/>
  <c r="F7" i="1"/>
  <c r="E7" i="1"/>
  <c r="E12" i="1" s="1"/>
  <c r="D7" i="1"/>
  <c r="D15" i="1"/>
  <c r="F15" i="1"/>
  <c r="G15" i="1"/>
  <c r="H15" i="1"/>
  <c r="I15" i="1"/>
  <c r="C15" i="1"/>
  <c r="D14" i="1"/>
  <c r="F14" i="1"/>
  <c r="G14" i="1"/>
  <c r="H14" i="1"/>
  <c r="I14" i="1"/>
  <c r="C14" i="1"/>
  <c r="D13" i="1"/>
  <c r="F13" i="1"/>
  <c r="G13" i="1"/>
  <c r="H13" i="1"/>
  <c r="I13" i="1"/>
  <c r="D12" i="1"/>
  <c r="F12" i="1"/>
  <c r="H12" i="1"/>
  <c r="I12" i="1"/>
  <c r="D11" i="1"/>
  <c r="F11" i="1"/>
  <c r="G11" i="1"/>
  <c r="H11" i="1"/>
  <c r="I11" i="1"/>
  <c r="D10" i="1"/>
  <c r="F10" i="1"/>
  <c r="H10" i="1"/>
  <c r="C13" i="1"/>
  <c r="C12" i="1"/>
  <c r="C11" i="1"/>
  <c r="C10" i="1"/>
  <c r="D9" i="1"/>
  <c r="F9" i="1"/>
  <c r="G9" i="1"/>
  <c r="H9" i="1"/>
  <c r="I9" i="1"/>
  <c r="C9" i="1"/>
  <c r="D8" i="1"/>
  <c r="E8" i="1"/>
  <c r="F8" i="1"/>
  <c r="H8" i="1"/>
  <c r="I8" i="1"/>
  <c r="C8" i="1"/>
  <c r="G8" i="1" l="1"/>
  <c r="G12" i="1"/>
  <c r="J10" i="1"/>
  <c r="J12" i="1"/>
  <c r="K12" i="1" s="1"/>
  <c r="L12" i="1" s="1"/>
  <c r="J15" i="1"/>
  <c r="J14" i="1"/>
  <c r="J9" i="1"/>
  <c r="J8" i="1"/>
  <c r="J11" i="1"/>
  <c r="E14" i="1"/>
  <c r="E11" i="1"/>
  <c r="E13" i="1"/>
  <c r="E10" i="1"/>
  <c r="E9" i="1"/>
  <c r="E15" i="1"/>
</calcChain>
</file>

<file path=xl/sharedStrings.xml><?xml version="1.0" encoding="utf-8"?>
<sst xmlns="http://schemas.openxmlformats.org/spreadsheetml/2006/main" count="13" uniqueCount="12">
  <si>
    <t xml:space="preserve">협상에 의한 계약체결 관련 </t>
    <phoneticPr fontId="3" type="noConversion"/>
  </si>
  <si>
    <t>기술</t>
    <phoneticPr fontId="3" type="noConversion"/>
  </si>
  <si>
    <t>점</t>
    <phoneticPr fontId="3" type="noConversion"/>
  </si>
  <si>
    <t>가격</t>
    <phoneticPr fontId="3" type="noConversion"/>
  </si>
  <si>
    <t># 입찰가격 평점산식</t>
    <phoneticPr fontId="3" type="noConversion"/>
  </si>
  <si>
    <t>구 분</t>
    <phoneticPr fontId="3" type="noConversion"/>
  </si>
  <si>
    <t>B사투찰율(%)</t>
    <phoneticPr fontId="3" type="noConversion"/>
  </si>
  <si>
    <t>A
사
투
찰
율
(%)</t>
    <phoneticPr fontId="3" type="noConversion"/>
  </si>
  <si>
    <t xml:space="preserve"> </t>
    <phoneticPr fontId="3" type="noConversion"/>
  </si>
  <si>
    <t>점수차</t>
    <phoneticPr fontId="3" type="noConversion"/>
  </si>
  <si>
    <t>PQ점수차</t>
    <phoneticPr fontId="3" type="noConversion"/>
  </si>
  <si>
    <t>70%투찰자와의 차이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</si>
</sst>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_ 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u/>
      <sz val="16"/>
      <name val="굴림체"/>
      <family val="3"/>
      <charset val="129"/>
    </font>
    <font>
      <u/>
      <sz val="16"/>
      <name val="굴림체"/>
      <family val="3"/>
      <charset val="129"/>
    </font>
    <font>
      <sz val="10"/>
      <name val="굴림체"/>
      <family val="3"/>
      <charset val="129"/>
    </font>
    <font>
      <sz val="11"/>
      <color indexed="10"/>
      <name val="돋움"/>
      <family val="3"/>
      <charset val="129"/>
    </font>
    <font>
      <sz val="11"/>
      <color rgb="FF002060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1" fontId="6" fillId="0" borderId="0" xfId="1" applyFont="1" applyAlignment="1">
      <alignment vertical="center"/>
    </xf>
    <xf numFmtId="9" fontId="6" fillId="0" borderId="0" xfId="2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2" borderId="7" xfId="0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2" fontId="0" fillId="0" borderId="0" xfId="0" applyNumberFormat="1" applyAlignment="1">
      <alignment vertical="center"/>
    </xf>
    <xf numFmtId="1" fontId="6" fillId="0" borderId="0" xfId="0" applyNumberFormat="1" applyFont="1" applyAlignment="1">
      <alignment horizontal="center" vertical="center"/>
    </xf>
    <xf numFmtId="2" fontId="8" fillId="3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9" fillId="3" borderId="7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9" fontId="0" fillId="0" borderId="0" xfId="0" applyNumberFormat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F20" sqref="F20"/>
    </sheetView>
  </sheetViews>
  <sheetFormatPr defaultRowHeight="13.5" x14ac:dyDescent="0.15"/>
  <cols>
    <col min="1" max="1" width="5.44140625" style="9" customWidth="1"/>
    <col min="2" max="2" width="6.5546875" style="9" customWidth="1"/>
    <col min="3" max="10" width="8.109375" style="9" customWidth="1"/>
    <col min="11" max="16384" width="8.88671875" style="9"/>
  </cols>
  <sheetData>
    <row r="1" spans="1:12" s="1" customFormat="1" ht="21.75" customHeight="1" x14ac:dyDescent="0.15">
      <c r="B1" s="16" t="s">
        <v>0</v>
      </c>
      <c r="C1" s="16"/>
      <c r="D1" s="16"/>
      <c r="E1" s="16"/>
      <c r="F1" s="16"/>
      <c r="G1" s="16"/>
      <c r="H1" s="16"/>
      <c r="I1" s="16"/>
      <c r="J1" s="16"/>
    </row>
    <row r="2" spans="1:12" s="1" customFormat="1" ht="10.5" customHeight="1" x14ac:dyDescent="0.15">
      <c r="B2" s="2"/>
      <c r="C2" s="2"/>
      <c r="D2" s="2"/>
      <c r="E2" s="2"/>
      <c r="F2" s="2"/>
      <c r="G2" s="2"/>
      <c r="H2" s="2"/>
      <c r="I2" s="2"/>
      <c r="J2" s="2"/>
    </row>
    <row r="3" spans="1:12" s="3" customFormat="1" ht="11.25" customHeight="1" x14ac:dyDescent="0.15">
      <c r="B3" s="4" t="s">
        <v>1</v>
      </c>
      <c r="C3" s="5">
        <v>70</v>
      </c>
      <c r="D3" s="3" t="s">
        <v>2</v>
      </c>
      <c r="E3" s="6"/>
      <c r="F3" s="6"/>
      <c r="G3" s="7"/>
      <c r="K3" s="14">
        <v>80</v>
      </c>
    </row>
    <row r="4" spans="1:12" s="3" customFormat="1" ht="11.25" customHeight="1" x14ac:dyDescent="0.15">
      <c r="B4" s="4" t="s">
        <v>3</v>
      </c>
      <c r="C4" s="5">
        <v>30</v>
      </c>
      <c r="D4" s="3" t="s">
        <v>2</v>
      </c>
      <c r="E4" s="6"/>
      <c r="F4" s="6"/>
      <c r="G4" s="7"/>
      <c r="K4" s="14">
        <v>30</v>
      </c>
    </row>
    <row r="5" spans="1:12" s="3" customFormat="1" ht="22.5" customHeight="1" thickBot="1" x14ac:dyDescent="0.2">
      <c r="A5" s="3" t="s">
        <v>4</v>
      </c>
      <c r="B5" s="8"/>
      <c r="C5" s="5"/>
      <c r="E5" s="6"/>
      <c r="F5" s="6"/>
      <c r="G5" s="7"/>
    </row>
    <row r="6" spans="1:12" ht="21" customHeight="1" x14ac:dyDescent="0.15">
      <c r="A6" s="17" t="s">
        <v>5</v>
      </c>
      <c r="B6" s="18"/>
      <c r="C6" s="21" t="s">
        <v>6</v>
      </c>
      <c r="D6" s="22"/>
      <c r="E6" s="22"/>
      <c r="F6" s="22"/>
      <c r="G6" s="22"/>
      <c r="H6" s="22"/>
      <c r="I6" s="22"/>
      <c r="J6" s="22"/>
      <c r="K6" s="30" t="s">
        <v>11</v>
      </c>
      <c r="L6" s="31"/>
    </row>
    <row r="7" spans="1:12" ht="17.25" customHeight="1" x14ac:dyDescent="0.15">
      <c r="A7" s="19"/>
      <c r="B7" s="20"/>
      <c r="C7" s="10">
        <v>100</v>
      </c>
      <c r="D7" s="10">
        <f>B9</f>
        <v>95</v>
      </c>
      <c r="E7" s="10">
        <f>B10</f>
        <v>90</v>
      </c>
      <c r="F7" s="10">
        <f>B11</f>
        <v>88</v>
      </c>
      <c r="G7" s="10">
        <f>B12</f>
        <v>85</v>
      </c>
      <c r="H7" s="10">
        <f>B13</f>
        <v>80</v>
      </c>
      <c r="I7" s="10">
        <f>B14</f>
        <v>75</v>
      </c>
      <c r="J7" s="27">
        <f>B15</f>
        <v>70</v>
      </c>
      <c r="K7" s="32" t="s">
        <v>9</v>
      </c>
      <c r="L7" s="33" t="s">
        <v>10</v>
      </c>
    </row>
    <row r="8" spans="1:12" ht="23.25" customHeight="1" x14ac:dyDescent="0.15">
      <c r="A8" s="23" t="s">
        <v>7</v>
      </c>
      <c r="B8" s="10">
        <v>100</v>
      </c>
      <c r="C8" s="11">
        <f t="shared" ref="C8:J8" si="0">$K$4*(IF($B$8&lt;=C$7,1,C$7/$B$8))</f>
        <v>30</v>
      </c>
      <c r="D8" s="26">
        <f t="shared" si="0"/>
        <v>28.5</v>
      </c>
      <c r="E8" s="26">
        <f t="shared" si="0"/>
        <v>27</v>
      </c>
      <c r="F8" s="26">
        <f t="shared" si="0"/>
        <v>26.4</v>
      </c>
      <c r="G8" s="26">
        <f t="shared" si="0"/>
        <v>25.5</v>
      </c>
      <c r="H8" s="26">
        <f t="shared" si="0"/>
        <v>24</v>
      </c>
      <c r="I8" s="26">
        <f t="shared" si="0"/>
        <v>22.5</v>
      </c>
      <c r="J8" s="28">
        <f t="shared" si="0"/>
        <v>21</v>
      </c>
      <c r="K8" s="34">
        <f>$J$15-J8</f>
        <v>7.25</v>
      </c>
      <c r="L8" s="35">
        <f>K8/0.7</f>
        <v>10.357142857142858</v>
      </c>
    </row>
    <row r="9" spans="1:12" ht="23.25" customHeight="1" x14ac:dyDescent="0.15">
      <c r="A9" s="24"/>
      <c r="B9" s="10">
        <v>95</v>
      </c>
      <c r="C9" s="11">
        <f t="shared" ref="C9:J9" si="1">$K$4*(IF($B$9&lt;=C$7,1,C$7/$B$9))</f>
        <v>30</v>
      </c>
      <c r="D9" s="11">
        <f t="shared" si="1"/>
        <v>30</v>
      </c>
      <c r="E9" s="26">
        <f t="shared" si="1"/>
        <v>28.421052631578945</v>
      </c>
      <c r="F9" s="26">
        <f t="shared" si="1"/>
        <v>27.789473684210527</v>
      </c>
      <c r="G9" s="26">
        <f t="shared" si="1"/>
        <v>26.842105263157894</v>
      </c>
      <c r="H9" s="26">
        <f t="shared" si="1"/>
        <v>25.263157894736842</v>
      </c>
      <c r="I9" s="26">
        <f t="shared" si="1"/>
        <v>23.684210526315791</v>
      </c>
      <c r="J9" s="28">
        <f t="shared" si="1"/>
        <v>22.105263157894736</v>
      </c>
      <c r="K9" s="34">
        <f t="shared" ref="K9:K15" si="2">$J$15-J9</f>
        <v>6.1447368421052637</v>
      </c>
      <c r="L9" s="35">
        <f t="shared" ref="L9:L15" si="3">K9/0.7</f>
        <v>8.7781954887218063</v>
      </c>
    </row>
    <row r="10" spans="1:12" ht="23.25" customHeight="1" x14ac:dyDescent="0.15">
      <c r="A10" s="24"/>
      <c r="B10" s="10">
        <v>90</v>
      </c>
      <c r="C10" s="11">
        <f t="shared" ref="C10:J10" si="4">$K$4*(IF($B$10&lt;=C$7,1,C$7/$B$10))</f>
        <v>30</v>
      </c>
      <c r="D10" s="11">
        <f t="shared" si="4"/>
        <v>30</v>
      </c>
      <c r="E10" s="11">
        <f t="shared" si="4"/>
        <v>30</v>
      </c>
      <c r="F10" s="26">
        <f t="shared" si="4"/>
        <v>29.333333333333332</v>
      </c>
      <c r="G10" s="26">
        <f t="shared" si="4"/>
        <v>28.333333333333332</v>
      </c>
      <c r="H10" s="26">
        <f t="shared" si="4"/>
        <v>26.666666666666664</v>
      </c>
      <c r="I10" s="26">
        <f t="shared" si="4"/>
        <v>25</v>
      </c>
      <c r="J10" s="28">
        <f t="shared" si="4"/>
        <v>23.333333333333332</v>
      </c>
      <c r="K10" s="34">
        <f t="shared" si="2"/>
        <v>4.9166666666666679</v>
      </c>
      <c r="L10" s="35">
        <f t="shared" si="3"/>
        <v>7.0238095238095264</v>
      </c>
    </row>
    <row r="11" spans="1:12" ht="23.25" customHeight="1" x14ac:dyDescent="0.15">
      <c r="A11" s="24"/>
      <c r="B11" s="10">
        <v>88</v>
      </c>
      <c r="C11" s="11">
        <f t="shared" ref="C11:J11" si="5">$K$4*(IF($B$11&lt;=C$7,1,C$7/$B$11))</f>
        <v>30</v>
      </c>
      <c r="D11" s="11">
        <f t="shared" si="5"/>
        <v>30</v>
      </c>
      <c r="E11" s="11">
        <f t="shared" si="5"/>
        <v>30</v>
      </c>
      <c r="F11" s="11">
        <f t="shared" si="5"/>
        <v>30</v>
      </c>
      <c r="G11" s="26">
        <f t="shared" si="5"/>
        <v>28.977272727272727</v>
      </c>
      <c r="H11" s="26">
        <f t="shared" si="5"/>
        <v>27.272727272727273</v>
      </c>
      <c r="I11" s="26">
        <f t="shared" si="5"/>
        <v>25.56818181818182</v>
      </c>
      <c r="J11" s="28">
        <f t="shared" si="5"/>
        <v>23.863636363636363</v>
      </c>
      <c r="K11" s="34">
        <f t="shared" si="2"/>
        <v>4.3863636363636367</v>
      </c>
      <c r="L11" s="35">
        <f t="shared" si="3"/>
        <v>6.2662337662337668</v>
      </c>
    </row>
    <row r="12" spans="1:12" ht="23.25" customHeight="1" x14ac:dyDescent="0.15">
      <c r="A12" s="24"/>
      <c r="B12" s="10">
        <v>85</v>
      </c>
      <c r="C12" s="11">
        <f t="shared" ref="C12:J12" si="6">$K$4*(IF($B$12&lt;=C$7,1,C$7/$B$12))</f>
        <v>30</v>
      </c>
      <c r="D12" s="11">
        <f t="shared" si="6"/>
        <v>30</v>
      </c>
      <c r="E12" s="11">
        <f t="shared" si="6"/>
        <v>30</v>
      </c>
      <c r="F12" s="11">
        <f t="shared" si="6"/>
        <v>30</v>
      </c>
      <c r="G12" s="11">
        <f t="shared" si="6"/>
        <v>30</v>
      </c>
      <c r="H12" s="26">
        <f t="shared" si="6"/>
        <v>28.235294117647058</v>
      </c>
      <c r="I12" s="26">
        <f t="shared" si="6"/>
        <v>26.470588235294116</v>
      </c>
      <c r="J12" s="28">
        <f t="shared" si="6"/>
        <v>24.705882352941174</v>
      </c>
      <c r="K12" s="34">
        <f t="shared" si="2"/>
        <v>3.544117647058826</v>
      </c>
      <c r="L12" s="35">
        <f t="shared" si="3"/>
        <v>5.0630252100840378</v>
      </c>
    </row>
    <row r="13" spans="1:12" ht="23.25" customHeight="1" x14ac:dyDescent="0.15">
      <c r="A13" s="24"/>
      <c r="B13" s="10">
        <v>80</v>
      </c>
      <c r="C13" s="11">
        <f t="shared" ref="C13:J13" si="7">$K$4*(IF($B$13&lt;=C$7,1,C$7/$B$13))</f>
        <v>30</v>
      </c>
      <c r="D13" s="11">
        <f t="shared" si="7"/>
        <v>30</v>
      </c>
      <c r="E13" s="11">
        <f t="shared" si="7"/>
        <v>30</v>
      </c>
      <c r="F13" s="11">
        <f t="shared" si="7"/>
        <v>30</v>
      </c>
      <c r="G13" s="11">
        <f t="shared" si="7"/>
        <v>30</v>
      </c>
      <c r="H13" s="11">
        <f t="shared" si="7"/>
        <v>30</v>
      </c>
      <c r="I13" s="26">
        <f t="shared" si="7"/>
        <v>28.125</v>
      </c>
      <c r="J13" s="28">
        <f t="shared" si="7"/>
        <v>26.25</v>
      </c>
      <c r="K13" s="34">
        <f t="shared" si="2"/>
        <v>2</v>
      </c>
      <c r="L13" s="35">
        <f t="shared" si="3"/>
        <v>2.8571428571428572</v>
      </c>
    </row>
    <row r="14" spans="1:12" ht="23.25" customHeight="1" x14ac:dyDescent="0.15">
      <c r="A14" s="24"/>
      <c r="B14" s="10">
        <v>75</v>
      </c>
      <c r="C14" s="15">
        <f t="shared" ref="C14:J14" si="8">$K$4*(MIN($B$14,C$7)/80)+(2*(80-$B$14)/10)</f>
        <v>29.125</v>
      </c>
      <c r="D14" s="15">
        <f t="shared" si="8"/>
        <v>29.125</v>
      </c>
      <c r="E14" s="15">
        <f t="shared" si="8"/>
        <v>29.125</v>
      </c>
      <c r="F14" s="15">
        <f t="shared" si="8"/>
        <v>29.125</v>
      </c>
      <c r="G14" s="15">
        <f t="shared" si="8"/>
        <v>29.125</v>
      </c>
      <c r="H14" s="15">
        <f t="shared" si="8"/>
        <v>29.125</v>
      </c>
      <c r="I14" s="15">
        <f t="shared" si="8"/>
        <v>29.125</v>
      </c>
      <c r="J14" s="29">
        <f t="shared" si="8"/>
        <v>27.25</v>
      </c>
      <c r="K14" s="34">
        <f t="shared" si="2"/>
        <v>1</v>
      </c>
      <c r="L14" s="35">
        <f t="shared" si="3"/>
        <v>1.4285714285714286</v>
      </c>
    </row>
    <row r="15" spans="1:12" ht="23.25" customHeight="1" thickBot="1" x14ac:dyDescent="0.2">
      <c r="A15" s="25"/>
      <c r="B15" s="10">
        <v>70</v>
      </c>
      <c r="C15" s="15">
        <f t="shared" ref="C15:J15" si="9">$K$4*(MIN($B$15,C$7)/80)+(2*(80-$B$15)/10)</f>
        <v>28.25</v>
      </c>
      <c r="D15" s="15">
        <f t="shared" si="9"/>
        <v>28.25</v>
      </c>
      <c r="E15" s="15">
        <f t="shared" si="9"/>
        <v>28.25</v>
      </c>
      <c r="F15" s="15">
        <f t="shared" si="9"/>
        <v>28.25</v>
      </c>
      <c r="G15" s="15">
        <f t="shared" si="9"/>
        <v>28.25</v>
      </c>
      <c r="H15" s="15">
        <f t="shared" si="9"/>
        <v>28.25</v>
      </c>
      <c r="I15" s="15">
        <f t="shared" si="9"/>
        <v>28.25</v>
      </c>
      <c r="J15" s="29">
        <f t="shared" si="9"/>
        <v>28.25</v>
      </c>
      <c r="K15" s="36">
        <f t="shared" si="2"/>
        <v>0</v>
      </c>
      <c r="L15" s="37">
        <f t="shared" si="3"/>
        <v>0</v>
      </c>
    </row>
    <row r="17" spans="3:10" x14ac:dyDescent="0.15">
      <c r="H17" s="12"/>
      <c r="I17" s="13"/>
      <c r="J17" s="12"/>
    </row>
    <row r="18" spans="3:10" x14ac:dyDescent="0.15">
      <c r="C18" s="38"/>
      <c r="H18" s="12"/>
      <c r="I18" s="13"/>
      <c r="J18" s="12"/>
    </row>
    <row r="19" spans="3:10" x14ac:dyDescent="0.15">
      <c r="H19" s="12"/>
      <c r="I19" s="13"/>
      <c r="J19" s="12"/>
    </row>
    <row r="20" spans="3:10" x14ac:dyDescent="0.15">
      <c r="H20" s="12"/>
      <c r="I20" s="13"/>
      <c r="J20" s="12"/>
    </row>
    <row r="21" spans="3:10" x14ac:dyDescent="0.15">
      <c r="H21" s="12"/>
      <c r="I21" s="13"/>
      <c r="J21" s="12"/>
    </row>
    <row r="22" spans="3:10" x14ac:dyDescent="0.15">
      <c r="H22" s="12"/>
      <c r="I22" s="13"/>
    </row>
    <row r="23" spans="3:10" x14ac:dyDescent="0.15">
      <c r="E23" s="9" t="s">
        <v>8</v>
      </c>
    </row>
  </sheetData>
  <mergeCells count="5">
    <mergeCell ref="B1:J1"/>
    <mergeCell ref="A6:B7"/>
    <mergeCell ref="C6:J6"/>
    <mergeCell ref="A8:A15"/>
    <mergeCell ref="K6:L6"/>
  </mergeCells>
  <phoneticPr fontId="3" type="noConversion"/>
  <printOptions horizontalCentered="1"/>
  <pageMargins left="0.55118110236220474" right="0.51181102362204722" top="0.41" bottom="0.6692913385826772" header="0.2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점수계산</vt:lpstr>
      <vt:lpstr>점수계산!Print_Area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김성열</dc:creator>
  <cp:lastModifiedBy>김성열</cp:lastModifiedBy>
  <cp:lastPrinted>2017-12-05T01:19:32Z</cp:lastPrinted>
  <dcterms:created xsi:type="dcterms:W3CDTF">2017-08-22T07:12:01Z</dcterms:created>
  <dcterms:modified xsi:type="dcterms:W3CDTF">2025-08-26T01:34:28Z</dcterms:modified>
</cp:coreProperties>
</file>